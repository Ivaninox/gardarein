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CRO" sheetId="1" state="visible" r:id="rId3"/>
    <sheet name="Synthèse" sheetId="2" state="visible" r:id="rId4"/>
  </sheets>
  <definedNames>
    <definedName function="false" hidden="true" localSheetId="0" name="_xlnm._FilterDatabase" vbProcedure="false">'Backlog CRO'!$A$3:$H$41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<sst xmlns="http://schemas.openxmlformats.org/spreadsheetml/2006/main" count="327" uniqueCount="195">
  <si>
    <t xml:space="preserve">Backlog CRO — Charpentes Gardarein  ·  to-do « avant / après »  (orienté Google Ads)</t>
  </si>
  <si>
    <t xml:space="preserve">Trié par priorité (Haute → Basse). La colonne « Après » indique la modification précise à appliquer.</t>
  </si>
  <si>
    <t xml:space="preserve">Page</t>
  </si>
  <si>
    <t xml:space="preserve">Type</t>
  </si>
  <si>
    <t xml:space="preserve">Problème constaté</t>
  </si>
  <si>
    <t xml:space="preserve">Avant</t>
  </si>
  <si>
    <t xml:space="preserve">Après (recommandation)</t>
  </si>
  <si>
    <t xml:space="preserve">Priorité</t>
  </si>
  <si>
    <t xml:space="preserve">Impact attendu</t>
  </si>
  <si>
    <t xml:space="preserve">Effort estimé</t>
  </si>
  <si>
    <t xml:space="preserve">Accueil</t>
  </si>
  <si>
    <t xml:space="preserve">Conversion</t>
  </si>
  <si>
    <t xml:space="preserve">Bloc « Actualités » met en avant des événements de 2016-2018 : signal de site abandonné.</t>
  </si>
  <si>
    <t xml:space="preserve">3 actualités datées (Eurobois 2016, Formation Steico 2018…).</t>
  </si>
  <si>
    <t xml:space="preserve">Soit publier 3 actualités/réalisations récentes, soit remplacer ce bloc par « Nos dernières réalisations » (galerie chantiers récents). À défaut, retirer le bloc.</t>
  </si>
  <si>
    <t xml:space="preserve">Haute</t>
  </si>
  <si>
    <t xml:space="preserve">Crédibilité « entreprise active »</t>
  </si>
  <si>
    <t xml:space="preserve">Faible</t>
  </si>
  <si>
    <t xml:space="preserve">Design</t>
  </si>
  <si>
    <t xml:space="preserve">Hero en carrousel auto + un slide avec bloc orange vide (élément cassé).</t>
  </si>
  <si>
    <t xml:space="preserve">Carrousel rotatif, slide « industrielles » avec encart vide.</t>
  </si>
  <si>
    <t xml:space="preserve">Remplacer le carrousel par un hero fixe unique. Supprimer l'encart vide. Promesse + CTA + réassurance stables.</t>
  </si>
  <si>
    <t xml:space="preserve">Compréhension immédiate de l'offre</t>
  </si>
  <si>
    <t xml:space="preserve">Moyen</t>
  </si>
  <si>
    <t xml:space="preserve">Bannière « Vous avez un projet ? » : texte, téléphone et bouton en orange sur orange, quasi invisibles.</t>
  </si>
  <si>
    <t xml:space="preserve">Contenu orange clair sur fond orange.</t>
  </si>
  <si>
    <t xml:space="preserve">Passer le texte et le téléphone en blanc, bouton blanc à texte orange foncé. Ex. bouton « Demander mon devis gratuit » + tél. blanc cliquable.</t>
  </si>
  <si>
    <t xml:space="preserve">CTA de bas de page réellement vu</t>
  </si>
  <si>
    <t xml:space="preserve">Contact</t>
  </si>
  <si>
    <t xml:space="preserve">Carte Google Maps cassée : message d'erreur « Impossible de charger Google Maps » (clé API invalide).</t>
  </si>
  <si>
    <t xml:space="preserve">Bloc carte en erreur, très visible.</t>
  </si>
  <si>
    <t xml:space="preserve">Réparer la clé API Google Maps (facturation/restrictions) OU intégrer une carte « embed » sans clé. Vérifier l'affichage desktop + mobile.</t>
  </si>
  <si>
    <t xml:space="preserve">Crédibilité sur la page de contact</t>
  </si>
  <si>
    <t xml:space="preserve">Devis gratuit</t>
  </si>
  <si>
    <t xml:space="preserve">Hero plein écran : sur desktop le formulaire ne commence qu'en bas de l'écran (scroll obligatoire).</t>
  </si>
  <si>
    <t xml:space="preserve">Bandeau hero ~100% de la hauteur avant le formulaire.</t>
  </si>
  <si>
    <t xml:space="preserve">Réduire le hero à ~140-180 px (titre + 3 promesses) pour faire apparaître le formulaire dès le 1er écran.</t>
  </si>
  <si>
    <t xml:space="preserve">Moins d'abandons avant le formulaire</t>
  </si>
  <si>
    <t xml:space="preserve">Formulaire long (~11 champs) pour une 1re prise de contact.</t>
  </si>
  <si>
    <t xml:space="preserve">Nom, Prénom, Email, Téléphone, Adresse, CP, Ville, Message, Pièce jointe, Type, Avancement.</t>
  </si>
  <si>
    <t xml:space="preserve">Réduire aux champs essentiels : Type de projet, Particulier/Pro, Nom &amp; prénom, Téléphone, Email, Code postal du chantier ; Message et Pièce jointe en optionnel.</t>
  </si>
  <si>
    <t xml:space="preserve">Taux de complétion en hausse</t>
  </si>
  <si>
    <t xml:space="preserve">Adresse complète (Adresse + CP + Ville) demandée dès le 1er contact.</t>
  </si>
  <si>
    <t xml:space="preserve">3 champs d'adresse obligatoires.</t>
  </si>
  <si>
    <t xml:space="preserve">Remplacer par un seul champ « Code postal du chantier » (suffit pour qualifier la zone). Demander l'adresse complète plus tard.</t>
  </si>
  <si>
    <t xml:space="preserve">Moins de friction, surtout mobile</t>
  </si>
  <si>
    <t xml:space="preserve">Aucune réassurance près du formulaire.</t>
  </si>
  <si>
    <t xml:space="preserve">Formulaire seul, sans levée d'objection.</t>
  </si>
  <si>
    <t xml:space="preserve">Ajouter à côté : « Devis sous 48h », « 100% gratuit, sans engagement », encart téléphone, 4 garanties (PEFC, 1928, FFB, livraison) et 1 avis client.</t>
  </si>
  <si>
    <t xml:space="preserve">Confiance au moment de l'envoi</t>
  </si>
  <si>
    <t xml:space="preserve">Merci (fin de formulaire)</t>
  </si>
  <si>
    <t xml:space="preserve">À vérifier : suivi de conversion Google Ads/Analytics sur cette URL.</t>
  </si>
  <si>
    <t xml:space="preserve">Suivi de conversion non confirmé.</t>
  </si>
  <si>
    <t xml:space="preserve">Configurer /merci.html comme événement de conversion (Google Ads + GA4) pour piloter le budget au coût/lead.</t>
  </si>
  <si>
    <t xml:space="preserve">Pilotage budget Ads fiable</t>
  </si>
  <si>
    <t xml:space="preserve">Pages services (x5)</t>
  </si>
  <si>
    <t xml:space="preserve">Aucun CTA dans la page hors bouton header : l'intérêt n'est jamais transformé.</t>
  </si>
  <si>
    <t xml:space="preserve">Pages riches mais sans appel à l'action contextuel.</t>
  </si>
  <si>
    <t xml:space="preserve">Ajouter un CTA dans le hero (« Devis pour ma charpente » + téléphone) et un bandeau CTA contextuel en bas (« Un projet de [type] ? Devis sous 48h »).</t>
  </si>
  <si>
    <t xml:space="preserve">Conversion des landing Ads services</t>
  </si>
  <si>
    <t xml:space="preserve">Pas de réassurance ni de preuve sociale sur des pages à fort potentiel Ads.</t>
  </si>
  <si>
    <t xml:space="preserve">Contenu technique sans trust signals.</t>
  </si>
  <si>
    <t xml:space="preserve">Insérer le bandeau réassurance + 1 avis client pertinent au type d'ouvrage.</t>
  </si>
  <si>
    <t xml:space="preserve">Confiance sur l'intention d'achat</t>
  </si>
  <si>
    <t xml:space="preserve">Reportage France 2</t>
  </si>
  <si>
    <t xml:space="preserve">Page remplie de texte « Lorem ipsum » + média (vidéo/image) cassé, en ligne et indexable.</t>
  </si>
  <si>
    <t xml:space="preserve">Faux-texte latin + média manquant sur une page « preuve TV ».</t>
  </si>
  <si>
    <t xml:space="preserve">Réintégrer la vidéo France 2 (ou un lien), rédiger un vrai texte de contexte, et corriger la date. Page à finaliser en priorité.</t>
  </si>
  <si>
    <t xml:space="preserve">Atout TV nationale enfin crédible</t>
  </si>
  <si>
    <t xml:space="preserve">Service · Abris/Carport/Pergolas</t>
  </si>
  <si>
    <t xml:space="preserve">Hero sans titre visible au chargement (H1 dépendant d'une animation).</t>
  </si>
  <si>
    <t xml:space="preserve">1er écran « vide » sur la page la plus grand public.</t>
  </si>
  <si>
    <t xml:space="preserve">Fiabiliser l'affichage du H1 + ajouter accroche bénéfice + CTA dès le hero (cible particuliers).</t>
  </si>
  <si>
    <t xml:space="preserve">Segment B2C le plus « vendeur »</t>
  </si>
  <si>
    <t xml:space="preserve">Tout le site</t>
  </si>
  <si>
    <t xml:space="preserve">Titres de hero dépendant d'une animation JS : n'apparaissent pas toujours au chargement (plusieurs pages services / entreprise).</t>
  </si>
  <si>
    <t xml:space="preserve">H1 masqué tant que l'animation au scroll ne s'est pas déclenchée.</t>
  </si>
  <si>
    <t xml:space="preserve">Afficher les H1 par défaut (état visible), n'animer que des éléments secondaires. Garantir le H1 visible même sans JS.</t>
  </si>
  <si>
    <t xml:space="preserve">Message match immédiat + SEO</t>
  </si>
  <si>
    <t xml:space="preserve">Nombreux textes en gris très clair sur blanc (étapes, libellés, bannières) : lisibilité et accessibilité insuffisantes.</t>
  </si>
  <si>
    <t xml:space="preserve">Texte gris clair ~#BFBFBF sur blanc.</t>
  </si>
  <si>
    <t xml:space="preserve">Passer le corps de texte à un gris foncé (#34302B) ; contraste minimum AA (ratio ≥ 4,5:1). Vérifier avec un contrôleur de contraste.</t>
  </si>
  <si>
    <t xml:space="preserve">Lisibilité, conversion, accessibilité</t>
  </si>
  <si>
    <t xml:space="preserve">Réassurance (PEFC, 90 ans, FFB, SAV, livraison) isolée sur la page « Nos garanties », jamais près des CTA.</t>
  </si>
  <si>
    <t xml:space="preserve">Garanties confinées à une page peu visitée.</t>
  </si>
  <si>
    <t xml:space="preserve">Créer un bandeau réassurance réutilisable (4 items + icônes) et l'afficher : sous le hero d'accueil, sur chaque page service et à côté des formulaires.</t>
  </si>
  <si>
    <t xml:space="preserve">Plus de confiance = plus de leads</t>
  </si>
  <si>
    <t xml:space="preserve">Aucun avis client (témoignages nominatifs, note Google) sur le site.</t>
  </si>
  <si>
    <t xml:space="preserve">Seulement des mentions presse datées (2007-2013).</t>
  </si>
  <si>
    <t xml:space="preserve">Intégrer un bloc « Avis clients » (3-4 témoignages réels + note Google moyenne) sur l'accueil, les pages services et la page devis. Connecter aux avis Google.</t>
  </si>
  <si>
    <t xml:space="preserve">Réassurance trafic froid Ads</t>
  </si>
  <si>
    <t xml:space="preserve">Tout le site (mobile)</t>
  </si>
  <si>
    <t xml:space="preserve">Aucun téléphone cliquable ni bouton « Devis » visible en permanence sur mobile (cachés dans le menu burger).</t>
  </si>
  <si>
    <t xml:space="preserve">Header mobile = logo + burger uniquement.</t>
  </si>
  <si>
    <t xml:space="preserve">Ajouter une barre d'action fixe en bas d'écran sur mobile, 2 boutons pleine largeur : « 📞 Appeler » (vert, lien tel:0553500125) et « Devis gratuit » (orange). Toujours visible.</t>
  </si>
  <si>
    <t xml:space="preserve">Appels &amp; devis directs en hausse (action 1 tap)</t>
  </si>
  <si>
    <t xml:space="preserve">Débordement horizontal : en 390 px le contenu se rend sur ~500 px (scroll latéral parasite).</t>
  </si>
  <si>
    <t xml:space="preserve">Largeur de page supérieure au viewport mobile.</t>
  </si>
  <si>
    <t xml:space="preserve">Corriger le CSS responsive : ajouter `max-width:100%; overflow-x:hidden` au conteneur, vérifier les éléments à largeur fixe et les images. Tester sur 360/390/414 px.</t>
  </si>
  <si>
    <t xml:space="preserve">Meilleure UX mobile + Quality Score</t>
  </si>
  <si>
    <t xml:space="preserve">Hero mobile sans accroche ni CTA au 1er écran (photo sombre seule au chargement).</t>
  </si>
  <si>
    <t xml:space="preserve">1er écran mobile = image grise, titre tardif, pas de bouton.</t>
  </si>
  <si>
    <t xml:space="preserve">Hero fixe (pas de carrousel) : H1 lisible + sous-titre bénéfice + 1 bouton « Devis gratuit » visible sans scroll, dès le chargement.</t>
  </si>
  <si>
    <t xml:space="preserve">Moins de rebond sur trafic Ads mobile</t>
  </si>
  <si>
    <t xml:space="preserve">Titres des 5 cartes de services en gris clair sur photo, peu lisibles.</t>
  </si>
  <si>
    <t xml:space="preserve">Libellés faible contraste sur image.</t>
  </si>
  <si>
    <t xml:space="preserve">Ajouter un dégradé sombre en bas des cartes + titre blanc (#FFFFFF), gras. Ajouter un mini-bénéfice + lien « Découvrir → ».</t>
  </si>
  <si>
    <t xml:space="preserve">Moyenne</t>
  </si>
  <si>
    <t xml:space="preserve">Clics vers les pages services</t>
  </si>
  <si>
    <t xml:space="preserve">CTA principal peu différencié des autres boutons orange de la page.</t>
  </si>
  <si>
    <t xml:space="preserve">Plusieurs boutons orange de même poids.</t>
  </si>
  <si>
    <t xml:space="preserve">Réserver l'orange plein au seul CTA « Devis gratuit » ; mettre les liens secondaires en style outline/foncé pour hiérarchiser.</t>
  </si>
  <si>
    <t xml:space="preserve">Clic concentré sur l'action clé</t>
  </si>
  <si>
    <t xml:space="preserve">Actualités (hub)</t>
  </si>
  <si>
    <t xml:space="preserve">Blog figé en 2016-2018 ; nuit à la perception de fiabilité.</t>
  </si>
  <si>
    <t xml:space="preserve">Aucun contenu récent.</t>
  </si>
  <si>
    <t xml:space="preserve">Relancer avec des réalisations récentes OU retirer le bloc Actualités des pages clés et dépublier le hub s'il reste vide.</t>
  </si>
  <si>
    <t xml:space="preserve">Image d'entreprise active</t>
  </si>
  <si>
    <t xml:space="preserve">Articles / Réalisations</t>
  </si>
  <si>
    <t xml:space="preserve">Cas chantiers (ex. charpente 80 m²) isolés, non reliés aux pages services.</t>
  </si>
  <si>
    <t xml:space="preserve">Preuve de réalisation inexploitée.</t>
  </si>
  <si>
    <t xml:space="preserve">Créer une galerie « Nos réalisations » filtrable par type, reliée aux pages services et au devis (boutons « Un projet similaire ? »).</t>
  </si>
  <si>
    <t xml:space="preserve">SEO local + réassurance</t>
  </si>
  <si>
    <t xml:space="preserve">Pas de réassurance (délai de réponse, avis) pour encourager l'envoi.</t>
  </si>
  <si>
    <t xml:space="preserve">Formulaire + coordonnées seulement.</t>
  </si>
  <si>
    <t xml:space="preserve">Ajouter « Réponse sous 48h ouvrées » près du bouton et 1-2 éléments de réassurance.</t>
  </si>
  <si>
    <t xml:space="preserve">Plus de formulaires envoyés</t>
  </si>
  <si>
    <t xml:space="preserve">Mention RGPD citant « Société CARTEGIE » (prestataire tiers) : déroutant.</t>
  </si>
  <si>
    <t xml:space="preserve">« Les informations collectées par la Société CARTEGIE… ».</t>
  </si>
  <si>
    <t xml:space="preserve">Réécrire au nom de Gardarein : « Vos données servent uniquement à traiter votre demande de devis et ne sont jamais revendues. Droit d'accès/rectification/suppression (RGPD). »</t>
  </si>
  <si>
    <t xml:space="preserve">Lève le doute sur l'usage des données</t>
  </si>
  <si>
    <t xml:space="preserve">Titre « Devis gratuit » sombre sur photo sombre, illisible.</t>
  </si>
  <si>
    <t xml:space="preserve">Texte foncé sur image sombre.</t>
  </si>
  <si>
    <t xml:space="preserve">Titre blanc sur bandeau foncé ; remplacer le H1 par « Recevez votre devis sous 48h ».</t>
  </si>
  <si>
    <t xml:space="preserve">Clarté de la promesse</t>
  </si>
  <si>
    <t xml:space="preserve">Ils parlent de nous</t>
  </si>
  <si>
    <t xml:space="preserve">Mentions presse datées (2007-2013), pas d'avis clients.</t>
  </si>
  <si>
    <t xml:space="preserve">Coupures de presse anciennes.</t>
  </si>
  <si>
    <t xml:space="preserve">Compléter par de vrais avis clients récents et, si possible, rafraîchir/contextualiser les mentions presse.</t>
  </si>
  <si>
    <t xml:space="preserve">Preuve sociale actuelle</t>
  </si>
  <si>
    <t xml:space="preserve">L'entreprise</t>
  </si>
  <si>
    <t xml:space="preserve">Pas de CTA en fin de récit ; hero sans accroche.</t>
  </si>
  <si>
    <t xml:space="preserve">Page narrative sans appel à l'action.</t>
  </si>
  <si>
    <t xml:space="preserve">Ajouter une accroche dans le hero et un CTA de fin de page « Confier mon projet à Gardarein ».</t>
  </si>
  <si>
    <t xml:space="preserve">Transforme la confiance en contact</t>
  </si>
  <si>
    <t xml:space="preserve">Page de confirmation minimale : pas de délai annoncé ni de canal alternatif.</t>
  </si>
  <si>
    <t xml:space="preserve">« Votre demande a bien été prise en compte » + bouton accueil.</t>
  </si>
  <si>
    <t xml:space="preserve">Ajouter « Nous revenons vers vous sous 48h ouvrées », proposer le téléphone pour les urgences, et 2-3 liens utiles (réalisations, garanties).</t>
  </si>
  <si>
    <t xml:space="preserve">Meilleure expérience post-conversion</t>
  </si>
  <si>
    <t xml:space="preserve">Nos garanties</t>
  </si>
  <si>
    <t xml:space="preserve">Excellente réassurance mais sans CTA et peu vue.</t>
  </si>
  <si>
    <t xml:space="preserve">6 garanties en cul-de-sac.</t>
  </si>
  <si>
    <t xml:space="preserve">Ajouter un CTA en bas + réutiliser ces 6 garanties en composant sur l'accueil/services/devis (voir ligne site-wide).</t>
  </si>
  <si>
    <t xml:space="preserve">Réassurance enfin exploitée</t>
  </si>
  <si>
    <t xml:space="preserve">Blocs « Bureau d'étude / Fabrication / Contrôle qualité » en gris très clair, presque illisibles.</t>
  </si>
  <si>
    <t xml:space="preserve">Étapes en texte gris clair.</t>
  </si>
  <si>
    <t xml:space="preserve">Mettre ces blocs en cartes blanches, numéros orange, texte foncé lisible (cf. maquette page service).</t>
  </si>
  <si>
    <t xml:space="preserve">Valorisation du process</t>
  </si>
  <si>
    <t xml:space="preserve">Reportage France 2 / Accueil</t>
  </si>
  <si>
    <t xml:space="preserve">L'atout « reportage France 2 » n'est mis en avant nulle part ailleurs.</t>
  </si>
  <si>
    <t xml:space="preserve">Preuve sociale forte cachée.</t>
  </si>
  <si>
    <t xml:space="preserve">Créer un bloc « Vu au journal de France 2 » sur l'accueil (vignette vidéo) renvoyant à la page finalisée.</t>
  </si>
  <si>
    <t xml:space="preserve">Réassurance haut de gamme</t>
  </si>
  <si>
    <t xml:space="preserve">Service · Produits complémentaires</t>
  </si>
  <si>
    <t xml:space="preserve">Hero sans titre visible + page « liste » sans appel à l'action.</t>
  </si>
  <si>
    <t xml:space="preserve">Catalogue brut, pas de CTA d'approvisionnement.</t>
  </si>
  <si>
    <t xml:space="preserve">Fiabiliser le H1 ; ajouter un CTA « Demander un tarif / une disponibilité » et mentionner « Disponible en stock ».</t>
  </si>
  <si>
    <t xml:space="preserve">Leads pros (matériaux)</t>
  </si>
  <si>
    <t xml:space="preserve">Le widget de chat recouvre des CTA / du contenu sur mobile (coin bas-droit).</t>
  </si>
  <si>
    <t xml:space="preserve">Bulle de chat superposée aux boutons.</t>
  </si>
  <si>
    <t xml:space="preserve">Décaler la bulle de chat au-dessus de la future barre d'action mobile, ou la masquer sur très petits écrans.</t>
  </si>
  <si>
    <t xml:space="preserve">CTA mobile non masqués</t>
  </si>
  <si>
    <t xml:space="preserve">Vitesse perçue : images d'archive/visuels potentiellement lourds.</t>
  </si>
  <si>
    <t xml:space="preserve">Images non optimisées possibles.</t>
  </si>
  <si>
    <t xml:space="preserve">Compresser et servir les images en WebP, lazy-loading, dimensions explicites. Viser un LCP mobile &lt; 2,5 s.</t>
  </si>
  <si>
    <t xml:space="preserve">Quality Score + moins de rebond</t>
  </si>
  <si>
    <t xml:space="preserve">Capture d'écran de logiciel CAO peu vendeuse ; corps de texte gris clair.</t>
  </si>
  <si>
    <t xml:space="preserve">Visuel technique + texte peu lisible.</t>
  </si>
  <si>
    <t xml:space="preserve">Remplacer par une photo d'atelier/équipe ; remonter le contraste du texte.</t>
  </si>
  <si>
    <t xml:space="preserve">Basse</t>
  </si>
  <si>
    <t xml:space="preserve">Image plus chaleureuse</t>
  </si>
  <si>
    <t xml:space="preserve">Mentions RGPD</t>
  </si>
  <si>
    <t xml:space="preserve">Nom du prestataire de données (« CARTEGIE ») incohérent avec la marque.</t>
  </si>
  <si>
    <t xml:space="preserve">Confusion possible sur le responsable des données.</t>
  </si>
  <si>
    <t xml:space="preserve">Harmoniser les mentions RGPD (formulaires + page « Données personnelles ») au nom de Gardarein, avec le bon responsable de traitement.</t>
  </si>
  <si>
    <t xml:space="preserve">Cohérence &amp; conformité</t>
  </si>
  <si>
    <t xml:space="preserve">Répartition des actions</t>
  </si>
  <si>
    <t xml:space="preserve">Nb d'actions</t>
  </si>
  <si>
    <t xml:space="preserve">TOTAL</t>
  </si>
  <si>
    <t xml:space="preserve">Priorités absolues (à lancer en premier) :</t>
  </si>
  <si>
    <t xml:space="preserve">1. Barre d'action mobile (Appeler + Devis) + correction du débordement horizontal.</t>
  </si>
  <si>
    <t xml:space="preserve">2. Réparer la carte Contact, finaliser la page France 2 (Lorem ipsum), retirer/MAJ les actualités 2016-2018.</t>
  </si>
  <si>
    <t xml:space="preserve">3. Réduire le hero + raccourcir le formulaire de devis + réassurance à côté.</t>
  </si>
  <si>
    <t xml:space="preserve">4. Bandeau réassurance (PEFC/1928/FFB/SAV) + avis clients réutilisés partout.</t>
  </si>
  <si>
    <t xml:space="preserve">5. Confirmer le suivi de conversion sur /merci.html.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</si>
</sst>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63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color rgb="FF34302B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3"/>
      <color rgb="FF2623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62320"/>
      <name val="Arial"/>
      <family val="0"/>
      <charset val="1"/>
    </font>
    <font>
      <sz val="10"/>
      <color rgb="FF34302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62320"/>
        <bgColor rgb="FF34302B"/>
      </patternFill>
    </fill>
    <fill>
      <patternFill patternType="solid">
        <fgColor rgb="FFEFE7DA"/>
        <bgColor rgb="FFF7F2EA"/>
      </patternFill>
    </fill>
    <fill>
      <patternFill patternType="solid">
        <fgColor rgb="FFC96A1F"/>
        <bgColor rgb="FFC0392B"/>
      </patternFill>
    </fill>
    <fill>
      <patternFill patternType="solid">
        <fgColor rgb="FFF7F2EA"/>
        <bgColor rgb="FFEFE7DA"/>
      </patternFill>
    </fill>
    <fill>
      <patternFill patternType="solid">
        <fgColor rgb="FFC0392B"/>
        <bgColor rgb="FF993366"/>
      </patternFill>
    </fill>
    <fill>
      <patternFill patternType="solid">
        <fgColor rgb="FFE1A100"/>
        <bgColor rgb="FFFFCC00"/>
      </patternFill>
    </fill>
    <fill>
      <patternFill patternType="solid">
        <fgColor rgb="FF6B8E23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0"/>
      </left>
      <right style="thin">
        <color rgb="FFD9CFC0"/>
      </right>
      <top style="thin">
        <color rgb="FFD9CFC0"/>
      </top>
      <bottom style="thin">
        <color rgb="FFD9CF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C96A1F"/>
          <bgColor rgb="FF000000"/>
        </patternFill>
      </fill>
    </dxf>
    <dxf>
      <fill>
        <patternFill patternType="solid">
          <fgColor rgb="FFF7F2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43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8E23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1A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8E23"/>
      <rgbColor rgb="FF800080"/>
      <rgbColor rgb="FF008080"/>
      <rgbColor rgb="FFD9CFC0"/>
      <rgbColor rgb="FF808080"/>
      <rgbColor rgb="FF9999FF"/>
      <rgbColor rgb="FF993366"/>
      <rgbColor rgb="FFF7F2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1A100"/>
      <rgbColor rgb="FFC96A1F"/>
      <rgbColor rgb="FF6B635A"/>
      <rgbColor rgb="FF969696"/>
      <rgbColor rgb="FF003366"/>
      <rgbColor rgb="FF339966"/>
      <rgbColor rgb="FF003300"/>
      <rgbColor rgb="FF262320"/>
      <rgbColor rgb="FFC0392B"/>
      <rgbColor rgb="FF993366"/>
      <rgbColor rgb="FF333399"/>
      <rgbColor rgb="FF343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35.05" hidden="false" customHeight="false" outlineLevel="0" collapsed="false">
      <c r="A4" s="4" t="s">
        <v>10</v>
      </c>
      <c r="B4" s="5" t="s">
        <v>11</v>
      </c>
      <c r="C4" s="4" t="s">
        <v>12</v>
      </c>
      <c r="D4" s="4" t="s">
        <v>13</v>
      </c>
      <c r="E4" s="4" t="s">
        <v>14</v>
      </c>
      <c r="F4" s="6" t="s">
        <v>15</v>
      </c>
      <c r="G4" s="4" t="s">
        <v>16</v>
      </c>
      <c r="H4" s="5" t="s">
        <v>17</v>
      </c>
    </row>
    <row r="5" customFormat="false" ht="35.05" hidden="false" customHeight="false" outlineLevel="0" collapsed="false">
      <c r="A5" s="7" t="s">
        <v>10</v>
      </c>
      <c r="B5" s="8" t="s">
        <v>18</v>
      </c>
      <c r="C5" s="7" t="s">
        <v>19</v>
      </c>
      <c r="D5" s="7" t="s">
        <v>20</v>
      </c>
      <c r="E5" s="7" t="s">
        <v>21</v>
      </c>
      <c r="F5" s="6" t="s">
        <v>15</v>
      </c>
      <c r="G5" s="7" t="s">
        <v>22</v>
      </c>
      <c r="H5" s="8" t="s">
        <v>23</v>
      </c>
    </row>
    <row r="6" customFormat="false" ht="35.05" hidden="false" customHeight="false" outlineLevel="0" collapsed="false">
      <c r="A6" s="4" t="s">
        <v>10</v>
      </c>
      <c r="B6" s="5" t="s">
        <v>11</v>
      </c>
      <c r="C6" s="4" t="s">
        <v>24</v>
      </c>
      <c r="D6" s="4" t="s">
        <v>25</v>
      </c>
      <c r="E6" s="4" t="s">
        <v>26</v>
      </c>
      <c r="F6" s="6" t="s">
        <v>15</v>
      </c>
      <c r="G6" s="4" t="s">
        <v>27</v>
      </c>
      <c r="H6" s="5" t="s">
        <v>17</v>
      </c>
    </row>
    <row r="7" customFormat="false" ht="35.05" hidden="false" customHeight="false" outlineLevel="0" collapsed="false">
      <c r="A7" s="7" t="s">
        <v>28</v>
      </c>
      <c r="B7" s="8" t="s">
        <v>11</v>
      </c>
      <c r="C7" s="7" t="s">
        <v>29</v>
      </c>
      <c r="D7" s="7" t="s">
        <v>30</v>
      </c>
      <c r="E7" s="7" t="s">
        <v>31</v>
      </c>
      <c r="F7" s="6" t="s">
        <v>15</v>
      </c>
      <c r="G7" s="7" t="s">
        <v>32</v>
      </c>
      <c r="H7" s="8" t="s">
        <v>17</v>
      </c>
    </row>
    <row r="8" customFormat="false" ht="35.05" hidden="false" customHeight="false" outlineLevel="0" collapsed="false">
      <c r="A8" s="4" t="s">
        <v>33</v>
      </c>
      <c r="B8" s="5" t="s">
        <v>18</v>
      </c>
      <c r="C8" s="4" t="s">
        <v>34</v>
      </c>
      <c r="D8" s="4" t="s">
        <v>35</v>
      </c>
      <c r="E8" s="4" t="s">
        <v>36</v>
      </c>
      <c r="F8" s="6" t="s">
        <v>15</v>
      </c>
      <c r="G8" s="4" t="s">
        <v>37</v>
      </c>
      <c r="H8" s="5" t="s">
        <v>17</v>
      </c>
    </row>
    <row r="9" customFormat="false" ht="46.25" hidden="false" customHeight="false" outlineLevel="0" collapsed="false">
      <c r="A9" s="7" t="s">
        <v>33</v>
      </c>
      <c r="B9" s="8" t="s">
        <v>11</v>
      </c>
      <c r="C9" s="7" t="s">
        <v>38</v>
      </c>
      <c r="D9" s="7" t="s">
        <v>39</v>
      </c>
      <c r="E9" s="7" t="s">
        <v>40</v>
      </c>
      <c r="F9" s="6" t="s">
        <v>15</v>
      </c>
      <c r="G9" s="7" t="s">
        <v>41</v>
      </c>
      <c r="H9" s="8" t="s">
        <v>17</v>
      </c>
    </row>
    <row r="10" customFormat="false" ht="35.05" hidden="false" customHeight="false" outlineLevel="0" collapsed="false">
      <c r="A10" s="4" t="s">
        <v>33</v>
      </c>
      <c r="B10" s="5" t="s">
        <v>11</v>
      </c>
      <c r="C10" s="4" t="s">
        <v>42</v>
      </c>
      <c r="D10" s="4" t="s">
        <v>43</v>
      </c>
      <c r="E10" s="4" t="s">
        <v>44</v>
      </c>
      <c r="F10" s="6" t="s">
        <v>15</v>
      </c>
      <c r="G10" s="4" t="s">
        <v>45</v>
      </c>
      <c r="H10" s="5" t="s">
        <v>17</v>
      </c>
    </row>
    <row r="11" customFormat="false" ht="35.05" hidden="false" customHeight="false" outlineLevel="0" collapsed="false">
      <c r="A11" s="7" t="s">
        <v>33</v>
      </c>
      <c r="B11" s="8" t="s">
        <v>11</v>
      </c>
      <c r="C11" s="7" t="s">
        <v>46</v>
      </c>
      <c r="D11" s="7" t="s">
        <v>47</v>
      </c>
      <c r="E11" s="7" t="s">
        <v>48</v>
      </c>
      <c r="F11" s="6" t="s">
        <v>15</v>
      </c>
      <c r="G11" s="7" t="s">
        <v>49</v>
      </c>
      <c r="H11" s="8" t="s">
        <v>17</v>
      </c>
    </row>
    <row r="12" customFormat="false" ht="23.85" hidden="false" customHeight="false" outlineLevel="0" collapsed="false">
      <c r="A12" s="4" t="s">
        <v>50</v>
      </c>
      <c r="B12" s="5" t="s">
        <v>11</v>
      </c>
      <c r="C12" s="4" t="s">
        <v>51</v>
      </c>
      <c r="D12" s="4" t="s">
        <v>52</v>
      </c>
      <c r="E12" s="4" t="s">
        <v>53</v>
      </c>
      <c r="F12" s="6" t="s">
        <v>15</v>
      </c>
      <c r="G12" s="4" t="s">
        <v>54</v>
      </c>
      <c r="H12" s="5" t="s">
        <v>17</v>
      </c>
    </row>
    <row r="13" customFormat="false" ht="35.05" hidden="false" customHeight="false" outlineLevel="0" collapsed="false">
      <c r="A13" s="7" t="s">
        <v>55</v>
      </c>
      <c r="B13" s="8" t="s">
        <v>11</v>
      </c>
      <c r="C13" s="7" t="s">
        <v>56</v>
      </c>
      <c r="D13" s="7" t="s">
        <v>57</v>
      </c>
      <c r="E13" s="7" t="s">
        <v>58</v>
      </c>
      <c r="F13" s="6" t="s">
        <v>15</v>
      </c>
      <c r="G13" s="7" t="s">
        <v>59</v>
      </c>
      <c r="H13" s="8" t="s">
        <v>23</v>
      </c>
    </row>
    <row r="14" customFormat="false" ht="23.85" hidden="false" customHeight="false" outlineLevel="0" collapsed="false">
      <c r="A14" s="4" t="s">
        <v>55</v>
      </c>
      <c r="B14" s="5" t="s">
        <v>11</v>
      </c>
      <c r="C14" s="4" t="s">
        <v>60</v>
      </c>
      <c r="D14" s="4" t="s">
        <v>61</v>
      </c>
      <c r="E14" s="4" t="s">
        <v>62</v>
      </c>
      <c r="F14" s="6" t="s">
        <v>15</v>
      </c>
      <c r="G14" s="4" t="s">
        <v>63</v>
      </c>
      <c r="H14" s="5" t="s">
        <v>23</v>
      </c>
    </row>
    <row r="15" customFormat="false" ht="35.05" hidden="false" customHeight="false" outlineLevel="0" collapsed="false">
      <c r="A15" s="7" t="s">
        <v>64</v>
      </c>
      <c r="B15" s="8" t="s">
        <v>11</v>
      </c>
      <c r="C15" s="7" t="s">
        <v>65</v>
      </c>
      <c r="D15" s="7" t="s">
        <v>66</v>
      </c>
      <c r="E15" s="7" t="s">
        <v>67</v>
      </c>
      <c r="F15" s="6" t="s">
        <v>15</v>
      </c>
      <c r="G15" s="7" t="s">
        <v>68</v>
      </c>
      <c r="H15" s="8" t="s">
        <v>17</v>
      </c>
    </row>
    <row r="16" customFormat="false" ht="23.85" hidden="false" customHeight="false" outlineLevel="0" collapsed="false">
      <c r="A16" s="4" t="s">
        <v>69</v>
      </c>
      <c r="B16" s="5" t="s">
        <v>11</v>
      </c>
      <c r="C16" s="4" t="s">
        <v>70</v>
      </c>
      <c r="D16" s="4" t="s">
        <v>71</v>
      </c>
      <c r="E16" s="4" t="s">
        <v>72</v>
      </c>
      <c r="F16" s="6" t="s">
        <v>15</v>
      </c>
      <c r="G16" s="4" t="s">
        <v>73</v>
      </c>
      <c r="H16" s="5" t="s">
        <v>17</v>
      </c>
    </row>
    <row r="17" customFormat="false" ht="46.25" hidden="false" customHeight="false" outlineLevel="0" collapsed="false">
      <c r="A17" s="7" t="s">
        <v>74</v>
      </c>
      <c r="B17" s="8" t="s">
        <v>18</v>
      </c>
      <c r="C17" s="7" t="s">
        <v>75</v>
      </c>
      <c r="D17" s="7" t="s">
        <v>76</v>
      </c>
      <c r="E17" s="7" t="s">
        <v>77</v>
      </c>
      <c r="F17" s="6" t="s">
        <v>15</v>
      </c>
      <c r="G17" s="7" t="s">
        <v>78</v>
      </c>
      <c r="H17" s="8" t="s">
        <v>17</v>
      </c>
    </row>
    <row r="18" customFormat="false" ht="35.05" hidden="false" customHeight="false" outlineLevel="0" collapsed="false">
      <c r="A18" s="4" t="s">
        <v>74</v>
      </c>
      <c r="B18" s="5" t="s">
        <v>18</v>
      </c>
      <c r="C18" s="4" t="s">
        <v>79</v>
      </c>
      <c r="D18" s="4" t="s">
        <v>80</v>
      </c>
      <c r="E18" s="4" t="s">
        <v>81</v>
      </c>
      <c r="F18" s="6" t="s">
        <v>15</v>
      </c>
      <c r="G18" s="4" t="s">
        <v>82</v>
      </c>
      <c r="H18" s="5" t="s">
        <v>17</v>
      </c>
    </row>
    <row r="19" customFormat="false" ht="35.05" hidden="false" customHeight="false" outlineLevel="0" collapsed="false">
      <c r="A19" s="7" t="s">
        <v>74</v>
      </c>
      <c r="B19" s="8" t="s">
        <v>11</v>
      </c>
      <c r="C19" s="7" t="s">
        <v>83</v>
      </c>
      <c r="D19" s="7" t="s">
        <v>84</v>
      </c>
      <c r="E19" s="7" t="s">
        <v>85</v>
      </c>
      <c r="F19" s="6" t="s">
        <v>15</v>
      </c>
      <c r="G19" s="7" t="s">
        <v>86</v>
      </c>
      <c r="H19" s="8" t="s">
        <v>23</v>
      </c>
    </row>
    <row r="20" customFormat="false" ht="35.05" hidden="false" customHeight="false" outlineLevel="0" collapsed="false">
      <c r="A20" s="4" t="s">
        <v>74</v>
      </c>
      <c r="B20" s="5" t="s">
        <v>11</v>
      </c>
      <c r="C20" s="4" t="s">
        <v>87</v>
      </c>
      <c r="D20" s="4" t="s">
        <v>88</v>
      </c>
      <c r="E20" s="4" t="s">
        <v>89</v>
      </c>
      <c r="F20" s="6" t="s">
        <v>15</v>
      </c>
      <c r="G20" s="4" t="s">
        <v>90</v>
      </c>
      <c r="H20" s="5" t="s">
        <v>23</v>
      </c>
    </row>
    <row r="21" customFormat="false" ht="46.25" hidden="false" customHeight="false" outlineLevel="0" collapsed="false">
      <c r="A21" s="7" t="s">
        <v>91</v>
      </c>
      <c r="B21" s="8" t="s">
        <v>11</v>
      </c>
      <c r="C21" s="7" t="s">
        <v>92</v>
      </c>
      <c r="D21" s="7" t="s">
        <v>93</v>
      </c>
      <c r="E21" s="7" t="s">
        <v>94</v>
      </c>
      <c r="F21" s="6" t="s">
        <v>15</v>
      </c>
      <c r="G21" s="7" t="s">
        <v>95</v>
      </c>
      <c r="H21" s="8" t="s">
        <v>17</v>
      </c>
    </row>
    <row r="22" customFormat="false" ht="35.05" hidden="false" customHeight="false" outlineLevel="0" collapsed="false">
      <c r="A22" s="4" t="s">
        <v>91</v>
      </c>
      <c r="B22" s="5" t="s">
        <v>18</v>
      </c>
      <c r="C22" s="4" t="s">
        <v>96</v>
      </c>
      <c r="D22" s="4" t="s">
        <v>97</v>
      </c>
      <c r="E22" s="4" t="s">
        <v>98</v>
      </c>
      <c r="F22" s="6" t="s">
        <v>15</v>
      </c>
      <c r="G22" s="4" t="s">
        <v>99</v>
      </c>
      <c r="H22" s="5" t="s">
        <v>23</v>
      </c>
    </row>
    <row r="23" customFormat="false" ht="35.05" hidden="false" customHeight="false" outlineLevel="0" collapsed="false">
      <c r="A23" s="7" t="s">
        <v>91</v>
      </c>
      <c r="B23" s="8" t="s">
        <v>11</v>
      </c>
      <c r="C23" s="7" t="s">
        <v>100</v>
      </c>
      <c r="D23" s="7" t="s">
        <v>101</v>
      </c>
      <c r="E23" s="7" t="s">
        <v>102</v>
      </c>
      <c r="F23" s="6" t="s">
        <v>15</v>
      </c>
      <c r="G23" s="7" t="s">
        <v>103</v>
      </c>
      <c r="H23" s="8" t="s">
        <v>23</v>
      </c>
    </row>
    <row r="24" customFormat="false" ht="35.05" hidden="false" customHeight="false" outlineLevel="0" collapsed="false">
      <c r="A24" s="4" t="s">
        <v>10</v>
      </c>
      <c r="B24" s="5" t="s">
        <v>18</v>
      </c>
      <c r="C24" s="4" t="s">
        <v>104</v>
      </c>
      <c r="D24" s="4" t="s">
        <v>105</v>
      </c>
      <c r="E24" s="4" t="s">
        <v>106</v>
      </c>
      <c r="F24" s="9" t="s">
        <v>107</v>
      </c>
      <c r="G24" s="4" t="s">
        <v>108</v>
      </c>
      <c r="H24" s="5" t="s">
        <v>17</v>
      </c>
    </row>
    <row r="25" customFormat="false" ht="35.05" hidden="false" customHeight="false" outlineLevel="0" collapsed="false">
      <c r="A25" s="7" t="s">
        <v>10</v>
      </c>
      <c r="B25" s="8" t="s">
        <v>11</v>
      </c>
      <c r="C25" s="7" t="s">
        <v>109</v>
      </c>
      <c r="D25" s="7" t="s">
        <v>110</v>
      </c>
      <c r="E25" s="7" t="s">
        <v>111</v>
      </c>
      <c r="F25" s="9" t="s">
        <v>107</v>
      </c>
      <c r="G25" s="7" t="s">
        <v>112</v>
      </c>
      <c r="H25" s="8" t="s">
        <v>17</v>
      </c>
    </row>
    <row r="26" customFormat="false" ht="35.05" hidden="false" customHeight="false" outlineLevel="0" collapsed="false">
      <c r="A26" s="4" t="s">
        <v>113</v>
      </c>
      <c r="B26" s="5" t="s">
        <v>11</v>
      </c>
      <c r="C26" s="4" t="s">
        <v>114</v>
      </c>
      <c r="D26" s="4" t="s">
        <v>115</v>
      </c>
      <c r="E26" s="4" t="s">
        <v>116</v>
      </c>
      <c r="F26" s="9" t="s">
        <v>107</v>
      </c>
      <c r="G26" s="4" t="s">
        <v>117</v>
      </c>
      <c r="H26" s="5" t="s">
        <v>23</v>
      </c>
    </row>
    <row r="27" customFormat="false" ht="35.05" hidden="false" customHeight="false" outlineLevel="0" collapsed="false">
      <c r="A27" s="7" t="s">
        <v>118</v>
      </c>
      <c r="B27" s="8" t="s">
        <v>11</v>
      </c>
      <c r="C27" s="7" t="s">
        <v>119</v>
      </c>
      <c r="D27" s="7" t="s">
        <v>120</v>
      </c>
      <c r="E27" s="7" t="s">
        <v>121</v>
      </c>
      <c r="F27" s="9" t="s">
        <v>107</v>
      </c>
      <c r="G27" s="7" t="s">
        <v>122</v>
      </c>
      <c r="H27" s="8" t="s">
        <v>23</v>
      </c>
    </row>
    <row r="28" customFormat="false" ht="23.85" hidden="false" customHeight="false" outlineLevel="0" collapsed="false">
      <c r="A28" s="4" t="s">
        <v>28</v>
      </c>
      <c r="B28" s="5" t="s">
        <v>11</v>
      </c>
      <c r="C28" s="4" t="s">
        <v>123</v>
      </c>
      <c r="D28" s="4" t="s">
        <v>124</v>
      </c>
      <c r="E28" s="4" t="s">
        <v>125</v>
      </c>
      <c r="F28" s="9" t="s">
        <v>107</v>
      </c>
      <c r="G28" s="4" t="s">
        <v>126</v>
      </c>
      <c r="H28" s="5" t="s">
        <v>17</v>
      </c>
    </row>
    <row r="29" customFormat="false" ht="46.25" hidden="false" customHeight="false" outlineLevel="0" collapsed="false">
      <c r="A29" s="7" t="s">
        <v>33</v>
      </c>
      <c r="B29" s="8" t="s">
        <v>11</v>
      </c>
      <c r="C29" s="7" t="s">
        <v>127</v>
      </c>
      <c r="D29" s="7" t="s">
        <v>128</v>
      </c>
      <c r="E29" s="7" t="s">
        <v>129</v>
      </c>
      <c r="F29" s="9" t="s">
        <v>107</v>
      </c>
      <c r="G29" s="7" t="s">
        <v>130</v>
      </c>
      <c r="H29" s="8" t="s">
        <v>17</v>
      </c>
    </row>
    <row r="30" customFormat="false" ht="23.85" hidden="false" customHeight="false" outlineLevel="0" collapsed="false">
      <c r="A30" s="4" t="s">
        <v>33</v>
      </c>
      <c r="B30" s="5" t="s">
        <v>18</v>
      </c>
      <c r="C30" s="4" t="s">
        <v>131</v>
      </c>
      <c r="D30" s="4" t="s">
        <v>132</v>
      </c>
      <c r="E30" s="4" t="s">
        <v>133</v>
      </c>
      <c r="F30" s="9" t="s">
        <v>107</v>
      </c>
      <c r="G30" s="4" t="s">
        <v>134</v>
      </c>
      <c r="H30" s="5" t="s">
        <v>17</v>
      </c>
    </row>
    <row r="31" customFormat="false" ht="23.85" hidden="false" customHeight="false" outlineLevel="0" collapsed="false">
      <c r="A31" s="7" t="s">
        <v>135</v>
      </c>
      <c r="B31" s="8" t="s">
        <v>11</v>
      </c>
      <c r="C31" s="7" t="s">
        <v>136</v>
      </c>
      <c r="D31" s="7" t="s">
        <v>137</v>
      </c>
      <c r="E31" s="7" t="s">
        <v>138</v>
      </c>
      <c r="F31" s="9" t="s">
        <v>107</v>
      </c>
      <c r="G31" s="7" t="s">
        <v>139</v>
      </c>
      <c r="H31" s="8" t="s">
        <v>23</v>
      </c>
    </row>
    <row r="32" customFormat="false" ht="23.85" hidden="false" customHeight="false" outlineLevel="0" collapsed="false">
      <c r="A32" s="4" t="s">
        <v>140</v>
      </c>
      <c r="B32" s="5" t="s">
        <v>11</v>
      </c>
      <c r="C32" s="4" t="s">
        <v>141</v>
      </c>
      <c r="D32" s="4" t="s">
        <v>142</v>
      </c>
      <c r="E32" s="4" t="s">
        <v>143</v>
      </c>
      <c r="F32" s="9" t="s">
        <v>107</v>
      </c>
      <c r="G32" s="4" t="s">
        <v>144</v>
      </c>
      <c r="H32" s="5" t="s">
        <v>17</v>
      </c>
    </row>
    <row r="33" customFormat="false" ht="35.05" hidden="false" customHeight="false" outlineLevel="0" collapsed="false">
      <c r="A33" s="7" t="s">
        <v>50</v>
      </c>
      <c r="B33" s="8" t="s">
        <v>11</v>
      </c>
      <c r="C33" s="7" t="s">
        <v>145</v>
      </c>
      <c r="D33" s="7" t="s">
        <v>146</v>
      </c>
      <c r="E33" s="7" t="s">
        <v>147</v>
      </c>
      <c r="F33" s="9" t="s">
        <v>107</v>
      </c>
      <c r="G33" s="7" t="s">
        <v>148</v>
      </c>
      <c r="H33" s="8" t="s">
        <v>17</v>
      </c>
    </row>
    <row r="34" customFormat="false" ht="35.05" hidden="false" customHeight="false" outlineLevel="0" collapsed="false">
      <c r="A34" s="4" t="s">
        <v>149</v>
      </c>
      <c r="B34" s="5" t="s">
        <v>11</v>
      </c>
      <c r="C34" s="4" t="s">
        <v>150</v>
      </c>
      <c r="D34" s="4" t="s">
        <v>151</v>
      </c>
      <c r="E34" s="4" t="s">
        <v>152</v>
      </c>
      <c r="F34" s="9" t="s">
        <v>107</v>
      </c>
      <c r="G34" s="4" t="s">
        <v>153</v>
      </c>
      <c r="H34" s="5" t="s">
        <v>17</v>
      </c>
    </row>
    <row r="35" customFormat="false" ht="35.05" hidden="false" customHeight="false" outlineLevel="0" collapsed="false">
      <c r="A35" s="7" t="s">
        <v>55</v>
      </c>
      <c r="B35" s="8" t="s">
        <v>18</v>
      </c>
      <c r="C35" s="7" t="s">
        <v>154</v>
      </c>
      <c r="D35" s="7" t="s">
        <v>155</v>
      </c>
      <c r="E35" s="7" t="s">
        <v>156</v>
      </c>
      <c r="F35" s="9" t="s">
        <v>107</v>
      </c>
      <c r="G35" s="7" t="s">
        <v>157</v>
      </c>
      <c r="H35" s="8" t="s">
        <v>17</v>
      </c>
    </row>
    <row r="36" customFormat="false" ht="23.85" hidden="false" customHeight="false" outlineLevel="0" collapsed="false">
      <c r="A36" s="4" t="s">
        <v>158</v>
      </c>
      <c r="B36" s="5" t="s">
        <v>11</v>
      </c>
      <c r="C36" s="4" t="s">
        <v>159</v>
      </c>
      <c r="D36" s="4" t="s">
        <v>160</v>
      </c>
      <c r="E36" s="4" t="s">
        <v>161</v>
      </c>
      <c r="F36" s="9" t="s">
        <v>107</v>
      </c>
      <c r="G36" s="4" t="s">
        <v>162</v>
      </c>
      <c r="H36" s="5" t="s">
        <v>17</v>
      </c>
    </row>
    <row r="37" customFormat="false" ht="35.05" hidden="false" customHeight="false" outlineLevel="0" collapsed="false">
      <c r="A37" s="7" t="s">
        <v>163</v>
      </c>
      <c r="B37" s="8" t="s">
        <v>11</v>
      </c>
      <c r="C37" s="7" t="s">
        <v>164</v>
      </c>
      <c r="D37" s="7" t="s">
        <v>165</v>
      </c>
      <c r="E37" s="7" t="s">
        <v>166</v>
      </c>
      <c r="F37" s="9" t="s">
        <v>107</v>
      </c>
      <c r="G37" s="7" t="s">
        <v>167</v>
      </c>
      <c r="H37" s="8" t="s">
        <v>17</v>
      </c>
    </row>
    <row r="38" customFormat="false" ht="23.85" hidden="false" customHeight="false" outlineLevel="0" collapsed="false">
      <c r="A38" s="4" t="s">
        <v>74</v>
      </c>
      <c r="B38" s="5" t="s">
        <v>11</v>
      </c>
      <c r="C38" s="4" t="s">
        <v>168</v>
      </c>
      <c r="D38" s="4" t="s">
        <v>169</v>
      </c>
      <c r="E38" s="4" t="s">
        <v>170</v>
      </c>
      <c r="F38" s="9" t="s">
        <v>107</v>
      </c>
      <c r="G38" s="4" t="s">
        <v>171</v>
      </c>
      <c r="H38" s="5" t="s">
        <v>17</v>
      </c>
    </row>
    <row r="39" customFormat="false" ht="23.85" hidden="false" customHeight="false" outlineLevel="0" collapsed="false">
      <c r="A39" s="7" t="s">
        <v>74</v>
      </c>
      <c r="B39" s="8" t="s">
        <v>18</v>
      </c>
      <c r="C39" s="7" t="s">
        <v>172</v>
      </c>
      <c r="D39" s="7" t="s">
        <v>173</v>
      </c>
      <c r="E39" s="7" t="s">
        <v>174</v>
      </c>
      <c r="F39" s="9" t="s">
        <v>107</v>
      </c>
      <c r="G39" s="7" t="s">
        <v>175</v>
      </c>
      <c r="H39" s="8" t="s">
        <v>23</v>
      </c>
    </row>
    <row r="40" customFormat="false" ht="23.85" hidden="false" customHeight="false" outlineLevel="0" collapsed="false">
      <c r="A40" s="4" t="s">
        <v>140</v>
      </c>
      <c r="B40" s="5" t="s">
        <v>18</v>
      </c>
      <c r="C40" s="4" t="s">
        <v>176</v>
      </c>
      <c r="D40" s="4" t="s">
        <v>177</v>
      </c>
      <c r="E40" s="4" t="s">
        <v>178</v>
      </c>
      <c r="F40" s="10" t="s">
        <v>179</v>
      </c>
      <c r="G40" s="4" t="s">
        <v>180</v>
      </c>
      <c r="H40" s="5" t="s">
        <v>17</v>
      </c>
    </row>
    <row r="41" customFormat="false" ht="35.05" hidden="false" customHeight="false" outlineLevel="0" collapsed="false">
      <c r="A41" s="7" t="s">
        <v>181</v>
      </c>
      <c r="B41" s="8" t="s">
        <v>11</v>
      </c>
      <c r="C41" s="7" t="s">
        <v>182</v>
      </c>
      <c r="D41" s="7" t="s">
        <v>183</v>
      </c>
      <c r="E41" s="7" t="s">
        <v>184</v>
      </c>
      <c r="F41" s="10" t="s">
        <v>179</v>
      </c>
      <c r="G41" s="7" t="s">
        <v>185</v>
      </c>
      <c r="H41" s="8" t="s">
        <v>17</v>
      </c>
    </row>
  </sheetData>
  <autoFilter ref="A3:H41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1" t="s">
        <v>186</v>
      </c>
    </row>
    <row r="3" customFormat="false" ht="15" hidden="false" customHeight="false" outlineLevel="0" collapsed="false">
      <c r="A3" s="12" t="s">
        <v>7</v>
      </c>
      <c r="B3" s="12" t="s">
        <v>187</v>
      </c>
    </row>
    <row r="4" customFormat="false" ht="15" hidden="false" customHeight="false" outlineLevel="0" collapsed="false">
      <c r="A4" s="13" t="s">
        <v>15</v>
      </c>
      <c r="B4" s="14" t="n">
        <f aca="false">COUNTIF('Backlog CRO'!F4:F41,"Haute")</f>
        <v>20</v>
      </c>
    </row>
    <row r="5" customFormat="false" ht="15" hidden="false" customHeight="false" outlineLevel="0" collapsed="false">
      <c r="A5" s="15" t="s">
        <v>107</v>
      </c>
      <c r="B5" s="14" t="n">
        <f aca="false">COUNTIF('Backlog CRO'!F4:F41,"Moyenne")</f>
        <v>16</v>
      </c>
    </row>
    <row r="6" customFormat="false" ht="15" hidden="false" customHeight="false" outlineLevel="0" collapsed="false">
      <c r="A6" s="16" t="s">
        <v>179</v>
      </c>
      <c r="B6" s="14" t="n">
        <f aca="false">COUNTIF('Backlog CRO'!F4:F41,"Basse")</f>
        <v>2</v>
      </c>
    </row>
    <row r="7" customFormat="false" ht="15" hidden="false" customHeight="false" outlineLevel="0" collapsed="false">
      <c r="A7" s="17" t="s">
        <v>188</v>
      </c>
      <c r="B7" s="14" t="n">
        <f aca="false">SUM(B4:B6)</f>
        <v>38</v>
      </c>
    </row>
    <row r="9" customFormat="false" ht="15" hidden="false" customHeight="false" outlineLevel="0" collapsed="false">
      <c r="A9" s="18" t="s">
        <v>189</v>
      </c>
    </row>
    <row r="10" customFormat="false" ht="15" hidden="false" customHeight="false" outlineLevel="0" collapsed="false">
      <c r="A10" s="19" t="s">
        <v>190</v>
      </c>
      <c r="B10" s="19"/>
      <c r="C10" s="19"/>
      <c r="D10" s="19"/>
    </row>
    <row r="11" customFormat="false" ht="15" hidden="false" customHeight="false" outlineLevel="0" collapsed="false">
      <c r="A11" s="19" t="s">
        <v>191</v>
      </c>
      <c r="B11" s="19"/>
      <c r="C11" s="19"/>
      <c r="D11" s="19"/>
    </row>
    <row r="12" customFormat="false" ht="15" hidden="false" customHeight="false" outlineLevel="0" collapsed="false">
      <c r="A12" s="19" t="s">
        <v>192</v>
      </c>
      <c r="B12" s="19"/>
      <c r="C12" s="19"/>
      <c r="D12" s="19"/>
    </row>
    <row r="13" customFormat="false" ht="15" hidden="false" customHeight="false" outlineLevel="0" collapsed="false">
      <c r="A13" s="19" t="s">
        <v>193</v>
      </c>
      <c r="B13" s="19"/>
      <c r="C13" s="19"/>
      <c r="D13" s="19"/>
    </row>
    <row r="14" customFormat="false" ht="15" hidden="false" customHeight="false" outlineLevel="0" collapsed="false">
      <c r="A14" s="19" t="s">
        <v>194</v>
      </c>
      <c r="B14" s="19"/>
      <c r="C14" s="19"/>
      <c r="D14" s="19"/>
    </row>
  </sheetData>
  <mergeCells count="5"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2026-06-05T08:04:37Z</dcterms:created>
  <dc:creator>openpyxl</dc:creator>
  <dc:description/>
  <dc:language>en-US</dc:language>
  <cp:lastModifiedBy/>
  <dcterms:modified xsi:type="dcterms:W3CDTF">2026-06-05T08:04:37Z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